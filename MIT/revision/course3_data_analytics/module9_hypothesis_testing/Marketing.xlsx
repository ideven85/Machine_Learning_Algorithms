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en/Desktop/"/>
    </mc:Choice>
  </mc:AlternateContent>
  <xr:revisionPtr revIDLastSave="0" documentId="13_ncr:1_{18111640-F3E8-7243-A8F1-B3C83607E18F}" xr6:coauthVersionLast="47" xr6:coauthVersionMax="47" xr10:uidLastSave="{00000000-0000-0000-0000-000000000000}"/>
  <bookViews>
    <workbookView xWindow="0" yWindow="760" windowWidth="30240" windowHeight="17360" activeTab="1" xr2:uid="{2DF1B7F9-3D0B-E94D-9619-54910AE038B1}"/>
  </bookViews>
  <sheets>
    <sheet name="Sheet1" sheetId="2" r:id="rId1"/>
    <sheet name="Marketing" sheetId="1" r:id="rId2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Marketing!$B$2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G21" i="1"/>
  <c r="D11" i="1" l="1"/>
  <c r="D12" i="1"/>
  <c r="D14" i="1"/>
  <c r="D15" i="1"/>
  <c r="C18" i="1"/>
  <c r="D18" i="1" s="1"/>
  <c r="C17" i="1"/>
  <c r="D17" i="1" s="1"/>
  <c r="C16" i="1"/>
  <c r="D16" i="1" s="1"/>
  <c r="C15" i="1"/>
  <c r="C14" i="1"/>
  <c r="C13" i="1"/>
  <c r="D13" i="1" s="1"/>
  <c r="C12" i="1"/>
  <c r="C11" i="1"/>
  <c r="C10" i="1"/>
  <c r="D10" i="1" s="1"/>
  <c r="C9" i="1"/>
  <c r="D9" i="1" s="1"/>
  <c r="C8" i="1"/>
  <c r="D8" i="1" s="1"/>
  <c r="C7" i="1"/>
  <c r="D7" i="1" s="1"/>
  <c r="C6" i="1"/>
  <c r="D6" i="1" s="1"/>
  <c r="C2" i="1"/>
  <c r="D2" i="1" s="1"/>
  <c r="C3" i="1"/>
  <c r="D3" i="1" s="1"/>
  <c r="C4" i="1"/>
  <c r="D4" i="1" s="1"/>
  <c r="C5" i="1"/>
  <c r="D5" i="1" s="1"/>
  <c r="B24" i="1" l="1"/>
</calcChain>
</file>

<file path=xl/sharedStrings.xml><?xml version="1.0" encoding="utf-8"?>
<sst xmlns="http://schemas.openxmlformats.org/spreadsheetml/2006/main" count="23" uniqueCount="23">
  <si>
    <t>SLOPE</t>
  </si>
  <si>
    <t>INTERCEPT</t>
  </si>
  <si>
    <t>RSS</t>
  </si>
  <si>
    <t xml:space="preserve">  Marketing Budget (X) (In lakhs)</t>
  </si>
  <si>
    <t>Actual Sales(Y) (In crores)</t>
  </si>
  <si>
    <t>Predicted Sales (Y-Pred)</t>
  </si>
  <si>
    <t>Residual Squares</t>
  </si>
  <si>
    <t>Average</t>
  </si>
  <si>
    <t>Total Sum of Squares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</si>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</sst>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8" xfId="0" applyFill="1" applyBorder="1" applyAlignment="1"/>
    <xf numFmtId="0" fontId="2" fillId="0" borderId="9" xfId="0" applyFont="1" applyFill="1" applyBorder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724915125251862E-2"/>
          <c:y val="3.5379129155271756E-2"/>
          <c:w val="0.54166978826986945"/>
          <c:h val="0.80858721108553477"/>
        </c:manualLayout>
      </c:layout>
      <c:scatterChart>
        <c:scatterStyle val="lineMarker"/>
        <c:varyColors val="0"/>
        <c:ser>
          <c:idx val="0"/>
          <c:order val="0"/>
          <c:tx>
            <c:strRef>
              <c:f>Marketing!$B$1</c:f>
              <c:strCache>
                <c:ptCount val="1"/>
                <c:pt idx="0">
                  <c:v>Actual Sales(Y) (In crores)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566152712919495"/>
                  <c:y val="-1.342941866388388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Marketing!$A$2:$A$18</c:f>
              <c:numCache>
                <c:formatCode>General</c:formatCode>
                <c:ptCount val="17"/>
                <c:pt idx="0">
                  <c:v>127.4</c:v>
                </c:pt>
                <c:pt idx="1">
                  <c:v>364.4</c:v>
                </c:pt>
                <c:pt idx="2">
                  <c:v>150</c:v>
                </c:pt>
                <c:pt idx="3">
                  <c:v>128.69999999999999</c:v>
                </c:pt>
                <c:pt idx="4">
                  <c:v>285.89999999999998</c:v>
                </c:pt>
                <c:pt idx="5">
                  <c:v>200</c:v>
                </c:pt>
                <c:pt idx="6">
                  <c:v>303.3</c:v>
                </c:pt>
                <c:pt idx="7">
                  <c:v>315.7</c:v>
                </c:pt>
                <c:pt idx="8">
                  <c:v>169.8</c:v>
                </c:pt>
                <c:pt idx="9">
                  <c:v>104.9</c:v>
                </c:pt>
                <c:pt idx="10">
                  <c:v>297.7</c:v>
                </c:pt>
                <c:pt idx="11">
                  <c:v>256.39999999999998</c:v>
                </c:pt>
                <c:pt idx="12">
                  <c:v>249.1</c:v>
                </c:pt>
                <c:pt idx="13">
                  <c:v>323.10000000000002</c:v>
                </c:pt>
                <c:pt idx="14">
                  <c:v>223</c:v>
                </c:pt>
                <c:pt idx="15">
                  <c:v>235</c:v>
                </c:pt>
                <c:pt idx="16">
                  <c:v>200</c:v>
                </c:pt>
              </c:numCache>
            </c:numRef>
          </c:xVal>
          <c:yVal>
            <c:numRef>
              <c:f>Marketing!$B$2:$B$18</c:f>
              <c:numCache>
                <c:formatCode>General</c:formatCode>
                <c:ptCount val="17"/>
                <c:pt idx="0">
                  <c:v>10.5</c:v>
                </c:pt>
                <c:pt idx="1">
                  <c:v>21.4</c:v>
                </c:pt>
                <c:pt idx="2">
                  <c:v>10</c:v>
                </c:pt>
                <c:pt idx="3">
                  <c:v>9.6</c:v>
                </c:pt>
                <c:pt idx="4">
                  <c:v>17.399999999999999</c:v>
                </c:pt>
                <c:pt idx="5">
                  <c:v>12.5</c:v>
                </c:pt>
                <c:pt idx="6">
                  <c:v>20</c:v>
                </c:pt>
                <c:pt idx="7">
                  <c:v>21</c:v>
                </c:pt>
                <c:pt idx="8">
                  <c:v>14.7</c:v>
                </c:pt>
                <c:pt idx="9">
                  <c:v>10.1</c:v>
                </c:pt>
                <c:pt idx="10">
                  <c:v>21.5</c:v>
                </c:pt>
                <c:pt idx="11">
                  <c:v>16.600000000000001</c:v>
                </c:pt>
                <c:pt idx="12">
                  <c:v>17.100000000000001</c:v>
                </c:pt>
                <c:pt idx="13">
                  <c:v>20.7</c:v>
                </c:pt>
                <c:pt idx="14">
                  <c:v>15.5</c:v>
                </c:pt>
                <c:pt idx="15">
                  <c:v>13.5</c:v>
                </c:pt>
                <c:pt idx="16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DF-6444-A1BE-50C93CC3A182}"/>
            </c:ext>
          </c:extLst>
        </c:ser>
        <c:ser>
          <c:idx val="1"/>
          <c:order val="1"/>
          <c:tx>
            <c:strRef>
              <c:f>Marketing!$C$1</c:f>
              <c:strCache>
                <c:ptCount val="1"/>
                <c:pt idx="0">
                  <c:v>Predicted Sales (Y-Pred)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Marketing!$A$2:$A$18</c:f>
              <c:numCache>
                <c:formatCode>General</c:formatCode>
                <c:ptCount val="17"/>
                <c:pt idx="0">
                  <c:v>127.4</c:v>
                </c:pt>
                <c:pt idx="1">
                  <c:v>364.4</c:v>
                </c:pt>
                <c:pt idx="2">
                  <c:v>150</c:v>
                </c:pt>
                <c:pt idx="3">
                  <c:v>128.69999999999999</c:v>
                </c:pt>
                <c:pt idx="4">
                  <c:v>285.89999999999998</c:v>
                </c:pt>
                <c:pt idx="5">
                  <c:v>200</c:v>
                </c:pt>
                <c:pt idx="6">
                  <c:v>303.3</c:v>
                </c:pt>
                <c:pt idx="7">
                  <c:v>315.7</c:v>
                </c:pt>
                <c:pt idx="8">
                  <c:v>169.8</c:v>
                </c:pt>
                <c:pt idx="9">
                  <c:v>104.9</c:v>
                </c:pt>
                <c:pt idx="10">
                  <c:v>297.7</c:v>
                </c:pt>
                <c:pt idx="11">
                  <c:v>256.39999999999998</c:v>
                </c:pt>
                <c:pt idx="12">
                  <c:v>249.1</c:v>
                </c:pt>
                <c:pt idx="13">
                  <c:v>323.10000000000002</c:v>
                </c:pt>
                <c:pt idx="14">
                  <c:v>223</c:v>
                </c:pt>
                <c:pt idx="15">
                  <c:v>235</c:v>
                </c:pt>
                <c:pt idx="16">
                  <c:v>200</c:v>
                </c:pt>
              </c:numCache>
            </c:numRef>
          </c:xVal>
          <c:yVal>
            <c:numRef>
              <c:f>Marketing!$C$2:$C$18</c:f>
              <c:numCache>
                <c:formatCode>General</c:formatCode>
                <c:ptCount val="17"/>
                <c:pt idx="0">
                  <c:v>10.079219999999999</c:v>
                </c:pt>
                <c:pt idx="1">
                  <c:v>22.592819999999996</c:v>
                </c:pt>
                <c:pt idx="2">
                  <c:v>11.272500000000001</c:v>
                </c:pt>
                <c:pt idx="3">
                  <c:v>10.14786</c:v>
                </c:pt>
                <c:pt idx="4">
                  <c:v>18.44802</c:v>
                </c:pt>
                <c:pt idx="5">
                  <c:v>13.912500000000001</c:v>
                </c:pt>
                <c:pt idx="6">
                  <c:v>19.36674</c:v>
                </c:pt>
                <c:pt idx="7">
                  <c:v>20.021459999999998</c:v>
                </c:pt>
                <c:pt idx="8">
                  <c:v>12.31794</c:v>
                </c:pt>
                <c:pt idx="9">
                  <c:v>8.8912200000000006</c:v>
                </c:pt>
                <c:pt idx="10">
                  <c:v>19.071059999999999</c:v>
                </c:pt>
                <c:pt idx="11">
                  <c:v>16.890419999999999</c:v>
                </c:pt>
                <c:pt idx="12">
                  <c:v>16.50498</c:v>
                </c:pt>
                <c:pt idx="13">
                  <c:v>20.412179999999999</c:v>
                </c:pt>
                <c:pt idx="14">
                  <c:v>15.126899999999999</c:v>
                </c:pt>
                <c:pt idx="15">
                  <c:v>15.7605</c:v>
                </c:pt>
                <c:pt idx="16">
                  <c:v>13.912500000000001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DF-6444-A1BE-50C93CC3A182}"/>
            </c:ext>
          </c:extLst>
        </c:ser>
        <c:ser>
          <c:idx val="2"/>
          <c:order val="2"/>
          <c:tx>
            <c:strRef>
              <c:f>Marketing!$D$1</c:f>
              <c:strCache>
                <c:ptCount val="1"/>
                <c:pt idx="0">
                  <c:v>Residual Squares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Marketing!$A$2:$A$18</c:f>
              <c:numCache>
                <c:formatCode>General</c:formatCode>
                <c:ptCount val="17"/>
                <c:pt idx="0">
                  <c:v>127.4</c:v>
                </c:pt>
                <c:pt idx="1">
                  <c:v>364.4</c:v>
                </c:pt>
                <c:pt idx="2">
                  <c:v>150</c:v>
                </c:pt>
                <c:pt idx="3">
                  <c:v>128.69999999999999</c:v>
                </c:pt>
                <c:pt idx="4">
                  <c:v>285.89999999999998</c:v>
                </c:pt>
                <c:pt idx="5">
                  <c:v>200</c:v>
                </c:pt>
                <c:pt idx="6">
                  <c:v>303.3</c:v>
                </c:pt>
                <c:pt idx="7">
                  <c:v>315.7</c:v>
                </c:pt>
                <c:pt idx="8">
                  <c:v>169.8</c:v>
                </c:pt>
                <c:pt idx="9">
                  <c:v>104.9</c:v>
                </c:pt>
                <c:pt idx="10">
                  <c:v>297.7</c:v>
                </c:pt>
                <c:pt idx="11">
                  <c:v>256.39999999999998</c:v>
                </c:pt>
                <c:pt idx="12">
                  <c:v>249.1</c:v>
                </c:pt>
                <c:pt idx="13">
                  <c:v>323.10000000000002</c:v>
                </c:pt>
                <c:pt idx="14">
                  <c:v>223</c:v>
                </c:pt>
                <c:pt idx="15">
                  <c:v>235</c:v>
                </c:pt>
                <c:pt idx="16">
                  <c:v>200</c:v>
                </c:pt>
              </c:numCache>
            </c:numRef>
          </c:xVal>
          <c:yVal>
            <c:numRef>
              <c:f>Marketing!$D$2:$D$18</c:f>
              <c:numCache>
                <c:formatCode>General</c:formatCode>
                <c:ptCount val="17"/>
                <c:pt idx="0">
                  <c:v>0.17705580840000051</c:v>
                </c:pt>
                <c:pt idx="1">
                  <c:v>1.4228195523999942</c:v>
                </c:pt>
                <c:pt idx="2">
                  <c:v>1.6192562500000021</c:v>
                </c:pt>
                <c:pt idx="3">
                  <c:v>0.30015057960000002</c:v>
                </c:pt>
                <c:pt idx="4">
                  <c:v>1.0983459204000021</c:v>
                </c:pt>
                <c:pt idx="5">
                  <c:v>1.995156250000004</c:v>
                </c:pt>
                <c:pt idx="6">
                  <c:v>0.40101822759999994</c:v>
                </c:pt>
                <c:pt idx="7">
                  <c:v>0.95754053160000474</c:v>
                </c:pt>
                <c:pt idx="8">
                  <c:v>5.6742098435999964</c:v>
                </c:pt>
                <c:pt idx="9">
                  <c:v>1.4611490883999978</c:v>
                </c:pt>
                <c:pt idx="10">
                  <c:v>5.8997495236000042</c:v>
                </c:pt>
                <c:pt idx="11">
                  <c:v>8.434377639999853E-2</c:v>
                </c:pt>
                <c:pt idx="12">
                  <c:v>0.35404880040000197</c:v>
                </c:pt>
                <c:pt idx="13">
                  <c:v>8.2840352399999984E-2</c:v>
                </c:pt>
                <c:pt idx="14">
                  <c:v>0.13920361000000064</c:v>
                </c:pt>
                <c:pt idx="15">
                  <c:v>5.1098602500000014</c:v>
                </c:pt>
                <c:pt idx="16">
                  <c:v>1.995156250000004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DF-6444-A1BE-50C93CC3A182}"/>
            </c:ext>
          </c:extLst>
        </c:ser>
        <c:ser>
          <c:idx val="3"/>
          <c:order val="3"/>
          <c:tx>
            <c:strRef>
              <c:f>Marketing!$E$1</c:f>
              <c:strCache>
                <c:ptCount val="1"/>
                <c:pt idx="0">
                  <c:v>Total Sum of Squares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Marketing!$A$2:$A$18</c:f>
              <c:numCache>
                <c:formatCode>General</c:formatCode>
                <c:ptCount val="17"/>
                <c:pt idx="0">
                  <c:v>127.4</c:v>
                </c:pt>
                <c:pt idx="1">
                  <c:v>364.4</c:v>
                </c:pt>
                <c:pt idx="2">
                  <c:v>150</c:v>
                </c:pt>
                <c:pt idx="3">
                  <c:v>128.69999999999999</c:v>
                </c:pt>
                <c:pt idx="4">
                  <c:v>285.89999999999998</c:v>
                </c:pt>
                <c:pt idx="5">
                  <c:v>200</c:v>
                </c:pt>
                <c:pt idx="6">
                  <c:v>303.3</c:v>
                </c:pt>
                <c:pt idx="7">
                  <c:v>315.7</c:v>
                </c:pt>
                <c:pt idx="8">
                  <c:v>169.8</c:v>
                </c:pt>
                <c:pt idx="9">
                  <c:v>104.9</c:v>
                </c:pt>
                <c:pt idx="10">
                  <c:v>297.7</c:v>
                </c:pt>
                <c:pt idx="11">
                  <c:v>256.39999999999998</c:v>
                </c:pt>
                <c:pt idx="12">
                  <c:v>249.1</c:v>
                </c:pt>
                <c:pt idx="13">
                  <c:v>323.10000000000002</c:v>
                </c:pt>
                <c:pt idx="14">
                  <c:v>223</c:v>
                </c:pt>
                <c:pt idx="15">
                  <c:v>235</c:v>
                </c:pt>
                <c:pt idx="16">
                  <c:v>200</c:v>
                </c:pt>
              </c:numCache>
            </c:numRef>
          </c:xVal>
          <c:yVal>
            <c:numRef>
              <c:f>Marketing!$E$2:$E$18</c:f>
              <c:numCache>
                <c:formatCode>General</c:formatCode>
                <c:ptCount val="17"/>
                <c:pt idx="0">
                  <c:v>25.65124585349481</c:v>
                </c:pt>
                <c:pt idx="1">
                  <c:v>34.050657233494796</c:v>
                </c:pt>
                <c:pt idx="2">
                  <c:v>30.96595175349481</c:v>
                </c:pt>
                <c:pt idx="3">
                  <c:v>35.57771647349481</c:v>
                </c:pt>
                <c:pt idx="4">
                  <c:v>3.3683044334948051</c:v>
                </c:pt>
                <c:pt idx="5">
                  <c:v>9.392422253494809</c:v>
                </c:pt>
                <c:pt idx="6">
                  <c:v>19.671833753494813</c:v>
                </c:pt>
                <c:pt idx="7">
                  <c:v>29.542421953494813</c:v>
                </c:pt>
                <c:pt idx="8">
                  <c:v>0.74771629349481106</c:v>
                </c:pt>
                <c:pt idx="9">
                  <c:v>29.863010573494812</c:v>
                </c:pt>
                <c:pt idx="10">
                  <c:v>35.22771605349481</c:v>
                </c:pt>
                <c:pt idx="11">
                  <c:v>1.0718338734948132</c:v>
                </c:pt>
                <c:pt idx="12">
                  <c:v>2.3571279734948147</c:v>
                </c:pt>
                <c:pt idx="13">
                  <c:v>26.371245493494804</c:v>
                </c:pt>
                <c:pt idx="14">
                  <c:v>4.1868534948099837E-3</c:v>
                </c:pt>
                <c:pt idx="15">
                  <c:v>4.2630104534948092</c:v>
                </c:pt>
                <c:pt idx="16">
                  <c:v>9.392422253494809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DF-6444-A1BE-50C93CC3A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081488"/>
        <c:axId val="1083085760"/>
      </c:scatterChart>
      <c:valAx>
        <c:axId val="10830814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85760"/>
        <c:crosses val="autoZero"/>
        <c:crossBetween val="midCat"/>
      </c:valAx>
      <c:valAx>
        <c:axId val="108308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8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66271</xdr:colOff>
      <xdr:row>1</xdr:row>
      <xdr:rowOff>56372</xdr:rowOff>
    </xdr:from>
    <xdr:to>
      <xdr:col>12</xdr:col>
      <xdr:colOff>389040</xdr:colOff>
      <xdr:row>19</xdr:row>
      <xdr:rowOff>3532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F6E8DC-1C8E-5B82-A0BD-58D7DBF54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0DAC34-1410-0041-9C69-31EB1AEB80B4}" name="Table1" displayName="Table1" ref="A1:E18" totalsRowShown="0" headerRowDxfId="8" headerRowBorderDxfId="7" tableBorderDxfId="6" totalsRowBorderDxfId="5">
  <autoFilter ref="A1:E18" xr:uid="{920DAC34-1410-0041-9C69-31EB1AEB80B4}"/>
  <tableColumns count="5">
    <tableColumn id="1" xr3:uid="{B4E4A5AC-641E-1E4B-8A8E-B29894458134}" name="  Marketing Budget (X) (In lakhs)" dataDxfId="4"/>
    <tableColumn id="2" xr3:uid="{179206B3-A605-9A4F-A92C-EB059EEAC8A9}" name="Actual Sales(Y) (In crores)" dataDxfId="3"/>
    <tableColumn id="3" xr3:uid="{0963FE86-30B2-A94A-9B6A-14CD4B0D66B9}" name="Predicted Sales (Y-Pred)" dataDxfId="2">
      <calculatedColumnFormula>A2*B21+B22</calculatedColumnFormula>
    </tableColumn>
    <tableColumn id="4" xr3:uid="{0ABD0E56-9D9C-404A-A37C-68BF25C25C92}" name="Residual Squares" dataDxfId="1">
      <calculatedColumnFormula>(B2-C2)^2</calculatedColumnFormula>
    </tableColumn>
    <tableColumn id="5" xr3:uid="{96862EEC-CF79-8543-9BFD-BAADD4E1176E}" name="Total Sum of Squares" dataDxfId="0">
      <calculatedColumnFormula>(B2-15.5647059)^2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2719341-77A9-A84A-B5BC-9717AAED028B}">
  <we:reference id="wa200002503" version="1.0.0.0" store="en-US" storeType="OMEX"/>
  <we:alternateReferences>
    <we:reference id="wa200002503" version="1.0.0.0" store="WA200002503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7C1B2D9-FCE0-764E-960E-9AB4D79B33DE}">
  <we:reference id="wa200006754" version="2.3.0.0" store="en-US" storeType="OMEX"/>
  <we:alternateReferences>
    <we:reference id="WA200006754" version="2.3.0.0" store="WA20000675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C4CA34D4-F5EF-1548-89F9-DA7D1969D6F6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b07EjUGXERJHBER9bPJZ9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CB74-E14D-AA4A-94A5-2CEE91A09633}">
  <dimension ref="A1:C14"/>
  <sheetViews>
    <sheetView zoomScale="150" zoomScaleNormal="150" workbookViewId="0">
      <selection sqref="A1:C14"/>
    </sheetView>
  </sheetViews>
  <sheetFormatPr baseColWidth="10" defaultRowHeight="16" x14ac:dyDescent="0.2"/>
  <sheetData>
    <row r="1" spans="1:3" x14ac:dyDescent="0.2">
      <c r="A1" t="s">
        <v>9</v>
      </c>
    </row>
    <row r="2" spans="1:3" ht="17" thickBot="1" x14ac:dyDescent="0.25"/>
    <row r="3" spans="1:3" x14ac:dyDescent="0.2">
      <c r="A3" s="12"/>
      <c r="B3" s="12" t="s">
        <v>10</v>
      </c>
      <c r="C3" s="12" t="s">
        <v>11</v>
      </c>
    </row>
    <row r="4" spans="1:3" x14ac:dyDescent="0.2">
      <c r="A4" s="10" t="s">
        <v>12</v>
      </c>
      <c r="B4" s="10">
        <v>231.43529411764703</v>
      </c>
      <c r="C4" s="10">
        <v>15.564705882352939</v>
      </c>
    </row>
    <row r="5" spans="1:3" x14ac:dyDescent="0.2">
      <c r="A5" s="10" t="s">
        <v>13</v>
      </c>
      <c r="B5" s="10">
        <v>6032.4811764706028</v>
      </c>
      <c r="C5" s="10">
        <v>18.594926470588291</v>
      </c>
    </row>
    <row r="6" spans="1:3" x14ac:dyDescent="0.2">
      <c r="A6" s="10" t="s">
        <v>14</v>
      </c>
      <c r="B6" s="10">
        <v>17</v>
      </c>
      <c r="C6" s="10">
        <v>17</v>
      </c>
    </row>
    <row r="7" spans="1:3" x14ac:dyDescent="0.2">
      <c r="A7" s="10" t="s">
        <v>15</v>
      </c>
      <c r="B7" s="10">
        <v>0.95041962462892149</v>
      </c>
      <c r="C7" s="10"/>
    </row>
    <row r="8" spans="1:3" x14ac:dyDescent="0.2">
      <c r="A8" s="10" t="s">
        <v>16</v>
      </c>
      <c r="B8" s="10">
        <v>0</v>
      </c>
      <c r="C8" s="10"/>
    </row>
    <row r="9" spans="1:3" x14ac:dyDescent="0.2">
      <c r="A9" s="10" t="s">
        <v>17</v>
      </c>
      <c r="B9" s="10">
        <v>16</v>
      </c>
      <c r="C9" s="10"/>
    </row>
    <row r="10" spans="1:3" x14ac:dyDescent="0.2">
      <c r="A10" s="10" t="s">
        <v>18</v>
      </c>
      <c r="B10" s="10">
        <v>12.095981796601626</v>
      </c>
      <c r="C10" s="10"/>
    </row>
    <row r="11" spans="1:3" x14ac:dyDescent="0.2">
      <c r="A11" s="10" t="s">
        <v>19</v>
      </c>
      <c r="B11" s="10">
        <v>9.1651180923878897E-10</v>
      </c>
      <c r="C11" s="10"/>
    </row>
    <row r="12" spans="1:3" x14ac:dyDescent="0.2">
      <c r="A12" s="10" t="s">
        <v>20</v>
      </c>
      <c r="B12" s="10">
        <v>1.7458836762762506</v>
      </c>
      <c r="C12" s="10"/>
    </row>
    <row r="13" spans="1:3" x14ac:dyDescent="0.2">
      <c r="A13" s="10" t="s">
        <v>21</v>
      </c>
      <c r="B13" s="10">
        <v>1.8330236184775779E-9</v>
      </c>
      <c r="C13" s="10"/>
    </row>
    <row r="14" spans="1:3" ht="17" thickBot="1" x14ac:dyDescent="0.25">
      <c r="A14" s="11" t="s">
        <v>22</v>
      </c>
      <c r="B14" s="11">
        <v>2.119905299221255</v>
      </c>
      <c r="C1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B9BD-7F50-8E4F-BF83-D84780EB0620}">
  <dimension ref="A1:G25"/>
  <sheetViews>
    <sheetView tabSelected="1" topLeftCell="B1" zoomScale="182" zoomScaleNormal="150" workbookViewId="0">
      <selection activeCell="A2" sqref="A2:A18 B2"/>
    </sheetView>
  </sheetViews>
  <sheetFormatPr baseColWidth="10" defaultRowHeight="16" x14ac:dyDescent="0.2"/>
  <cols>
    <col min="1" max="1" width="29.5" style="1" customWidth="1"/>
    <col min="2" max="2" width="23.5" style="1" customWidth="1"/>
    <col min="3" max="3" width="18.5" customWidth="1"/>
  </cols>
  <sheetData>
    <row r="1" spans="1:5" x14ac:dyDescent="0.2">
      <c r="A1" s="5" t="s">
        <v>3</v>
      </c>
      <c r="B1" s="6" t="s">
        <v>4</v>
      </c>
      <c r="C1" s="9" t="s">
        <v>5</v>
      </c>
      <c r="D1" s="9" t="s">
        <v>6</v>
      </c>
      <c r="E1" s="9" t="s">
        <v>8</v>
      </c>
    </row>
    <row r="2" spans="1:5" x14ac:dyDescent="0.2">
      <c r="A2" s="3">
        <v>127.4</v>
      </c>
      <c r="B2" s="4">
        <v>10.5</v>
      </c>
      <c r="C2">
        <f>A2*B22+B23</f>
        <v>10.079219999999999</v>
      </c>
      <c r="D2">
        <f t="shared" ref="D2:D18" si="0">(B2-C2)^2</f>
        <v>0.17705580840000051</v>
      </c>
      <c r="E2">
        <f t="shared" ref="E2:E18" si="1">(B2-15.5647059)^2</f>
        <v>25.65124585349481</v>
      </c>
    </row>
    <row r="3" spans="1:5" x14ac:dyDescent="0.2">
      <c r="A3" s="3">
        <v>364.4</v>
      </c>
      <c r="B3" s="4">
        <v>21.4</v>
      </c>
      <c r="C3">
        <f>A3*B22+B23</f>
        <v>22.592819999999996</v>
      </c>
      <c r="D3">
        <f t="shared" si="0"/>
        <v>1.4228195523999942</v>
      </c>
      <c r="E3">
        <f t="shared" si="1"/>
        <v>34.050657233494796</v>
      </c>
    </row>
    <row r="4" spans="1:5" x14ac:dyDescent="0.2">
      <c r="A4" s="3">
        <v>150</v>
      </c>
      <c r="B4" s="4">
        <v>10</v>
      </c>
      <c r="C4">
        <f>A4*B22+B23</f>
        <v>11.272500000000001</v>
      </c>
      <c r="D4">
        <f t="shared" si="0"/>
        <v>1.6192562500000021</v>
      </c>
      <c r="E4">
        <f t="shared" si="1"/>
        <v>30.96595175349481</v>
      </c>
    </row>
    <row r="5" spans="1:5" x14ac:dyDescent="0.2">
      <c r="A5" s="3">
        <v>128.69999999999999</v>
      </c>
      <c r="B5" s="4">
        <v>9.6</v>
      </c>
      <c r="C5">
        <f>A5*B22+B23</f>
        <v>10.14786</v>
      </c>
      <c r="D5">
        <f t="shared" si="0"/>
        <v>0.30015057960000002</v>
      </c>
      <c r="E5">
        <f t="shared" si="1"/>
        <v>35.57771647349481</v>
      </c>
    </row>
    <row r="6" spans="1:5" x14ac:dyDescent="0.2">
      <c r="A6" s="3">
        <v>285.89999999999998</v>
      </c>
      <c r="B6" s="4">
        <v>17.399999999999999</v>
      </c>
      <c r="C6">
        <f>A6*B22+B23</f>
        <v>18.44802</v>
      </c>
      <c r="D6">
        <f t="shared" si="0"/>
        <v>1.0983459204000021</v>
      </c>
      <c r="E6">
        <f t="shared" si="1"/>
        <v>3.3683044334948051</v>
      </c>
    </row>
    <row r="7" spans="1:5" x14ac:dyDescent="0.2">
      <c r="A7" s="3">
        <v>200</v>
      </c>
      <c r="B7" s="4">
        <v>12.5</v>
      </c>
      <c r="C7">
        <f>A7*B22+B23</f>
        <v>13.912500000000001</v>
      </c>
      <c r="D7">
        <f t="shared" si="0"/>
        <v>1.995156250000004</v>
      </c>
      <c r="E7">
        <f t="shared" si="1"/>
        <v>9.392422253494809</v>
      </c>
    </row>
    <row r="8" spans="1:5" x14ac:dyDescent="0.2">
      <c r="A8" s="3">
        <v>303.3</v>
      </c>
      <c r="B8" s="4">
        <v>20</v>
      </c>
      <c r="C8">
        <f>A8*B22+B23</f>
        <v>19.36674</v>
      </c>
      <c r="D8">
        <f t="shared" si="0"/>
        <v>0.40101822759999994</v>
      </c>
      <c r="E8">
        <f t="shared" si="1"/>
        <v>19.671833753494813</v>
      </c>
    </row>
    <row r="9" spans="1:5" x14ac:dyDescent="0.2">
      <c r="A9" s="3">
        <v>315.7</v>
      </c>
      <c r="B9" s="4">
        <v>21</v>
      </c>
      <c r="C9">
        <f>A9*B22+B23</f>
        <v>20.021459999999998</v>
      </c>
      <c r="D9">
        <f t="shared" si="0"/>
        <v>0.95754053160000474</v>
      </c>
      <c r="E9">
        <f t="shared" si="1"/>
        <v>29.542421953494813</v>
      </c>
    </row>
    <row r="10" spans="1:5" x14ac:dyDescent="0.2">
      <c r="A10" s="3">
        <v>169.8</v>
      </c>
      <c r="B10" s="4">
        <v>14.7</v>
      </c>
      <c r="C10">
        <f>A10*B22+B23</f>
        <v>12.31794</v>
      </c>
      <c r="D10">
        <f t="shared" si="0"/>
        <v>5.6742098435999964</v>
      </c>
      <c r="E10">
        <f t="shared" si="1"/>
        <v>0.74771629349481106</v>
      </c>
    </row>
    <row r="11" spans="1:5" x14ac:dyDescent="0.2">
      <c r="A11" s="3">
        <v>104.9</v>
      </c>
      <c r="B11" s="4">
        <v>10.1</v>
      </c>
      <c r="C11">
        <f>A11*B22+B23</f>
        <v>8.8912200000000006</v>
      </c>
      <c r="D11">
        <f t="shared" si="0"/>
        <v>1.4611490883999978</v>
      </c>
      <c r="E11">
        <f t="shared" si="1"/>
        <v>29.863010573494812</v>
      </c>
    </row>
    <row r="12" spans="1:5" x14ac:dyDescent="0.2">
      <c r="A12" s="3">
        <v>297.7</v>
      </c>
      <c r="B12" s="4">
        <v>21.5</v>
      </c>
      <c r="C12">
        <f>A12*B22+B23</f>
        <v>19.071059999999999</v>
      </c>
      <c r="D12">
        <f t="shared" si="0"/>
        <v>5.8997495236000042</v>
      </c>
      <c r="E12">
        <f t="shared" si="1"/>
        <v>35.22771605349481</v>
      </c>
    </row>
    <row r="13" spans="1:5" x14ac:dyDescent="0.2">
      <c r="A13" s="3">
        <v>256.39999999999998</v>
      </c>
      <c r="B13" s="4">
        <v>16.600000000000001</v>
      </c>
      <c r="C13">
        <f>A13*B22+B23</f>
        <v>16.890419999999999</v>
      </c>
      <c r="D13">
        <f t="shared" si="0"/>
        <v>8.434377639999853E-2</v>
      </c>
      <c r="E13">
        <f t="shared" si="1"/>
        <v>1.0718338734948132</v>
      </c>
    </row>
    <row r="14" spans="1:5" x14ac:dyDescent="0.2">
      <c r="A14" s="3">
        <v>249.1</v>
      </c>
      <c r="B14" s="4">
        <v>17.100000000000001</v>
      </c>
      <c r="C14">
        <f>A14*B22+B23</f>
        <v>16.50498</v>
      </c>
      <c r="D14">
        <f t="shared" si="0"/>
        <v>0.35404880040000197</v>
      </c>
      <c r="E14">
        <f t="shared" si="1"/>
        <v>2.3571279734948147</v>
      </c>
    </row>
    <row r="15" spans="1:5" x14ac:dyDescent="0.2">
      <c r="A15" s="3">
        <v>323.10000000000002</v>
      </c>
      <c r="B15" s="4">
        <v>20.7</v>
      </c>
      <c r="C15">
        <f>A15*B22+B23</f>
        <v>20.412179999999999</v>
      </c>
      <c r="D15">
        <f t="shared" si="0"/>
        <v>8.2840352399999984E-2</v>
      </c>
      <c r="E15">
        <f t="shared" si="1"/>
        <v>26.371245493494804</v>
      </c>
    </row>
    <row r="16" spans="1:5" x14ac:dyDescent="0.2">
      <c r="A16" s="3">
        <v>223</v>
      </c>
      <c r="B16" s="4">
        <v>15.5</v>
      </c>
      <c r="C16">
        <f>A16*B22+B23</f>
        <v>15.126899999999999</v>
      </c>
      <c r="D16">
        <f t="shared" si="0"/>
        <v>0.13920361000000064</v>
      </c>
      <c r="E16">
        <f t="shared" si="1"/>
        <v>4.1868534948099837E-3</v>
      </c>
    </row>
    <row r="17" spans="1:7" x14ac:dyDescent="0.2">
      <c r="A17" s="3">
        <v>235</v>
      </c>
      <c r="B17" s="4">
        <v>13.5</v>
      </c>
      <c r="C17">
        <f>A17*B22+B23</f>
        <v>15.7605</v>
      </c>
      <c r="D17">
        <f t="shared" si="0"/>
        <v>5.1098602500000014</v>
      </c>
      <c r="E17">
        <f t="shared" si="1"/>
        <v>4.2630104534948092</v>
      </c>
    </row>
    <row r="18" spans="1:7" x14ac:dyDescent="0.2">
      <c r="A18" s="7">
        <v>200</v>
      </c>
      <c r="B18" s="8">
        <v>12.5</v>
      </c>
      <c r="C18">
        <f>A18*B22+B23</f>
        <v>13.912500000000001</v>
      </c>
      <c r="D18">
        <f t="shared" si="0"/>
        <v>1.995156250000004</v>
      </c>
      <c r="E18">
        <f t="shared" si="1"/>
        <v>9.392422253494809</v>
      </c>
    </row>
    <row r="21" spans="1:7" x14ac:dyDescent="0.2">
      <c r="A21" s="1" t="s">
        <v>7</v>
      </c>
      <c r="G21">
        <f>AVERAGE(B2:B18)</f>
        <v>15.564705882352939</v>
      </c>
    </row>
    <row r="22" spans="1:7" x14ac:dyDescent="0.2">
      <c r="A22" t="s">
        <v>0</v>
      </c>
      <c r="B22" s="1">
        <v>5.28E-2</v>
      </c>
    </row>
    <row r="23" spans="1:7" x14ac:dyDescent="0.2">
      <c r="A23" t="s">
        <v>1</v>
      </c>
      <c r="B23" s="1">
        <v>3.3525</v>
      </c>
    </row>
    <row r="24" spans="1:7" x14ac:dyDescent="0.2">
      <c r="A24" t="s">
        <v>2</v>
      </c>
      <c r="B24" s="1">
        <f>SUM(D2:D18)</f>
        <v>28.771904614800007</v>
      </c>
    </row>
    <row r="25" spans="1:7" x14ac:dyDescent="0.2">
      <c r="A25" s="2"/>
      <c r="B25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 Kalra</dc:creator>
  <cp:lastModifiedBy>Deven Kalra</cp:lastModifiedBy>
  <dcterms:created xsi:type="dcterms:W3CDTF">2025-05-01T08:13:56Z</dcterms:created>
  <dcterms:modified xsi:type="dcterms:W3CDTF">2025-05-01T16:53:30Z</dcterms:modified>
</cp:coreProperties>
</file>